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<sst xmlns="http://schemas.openxmlformats.org/spreadsheetml/2006/main" count="91" uniqueCount="46">
  <si>
    <t>Inches</t>
  </si>
  <si>
    <t>INPUT</t>
  </si>
  <si>
    <t>Metric</t>
  </si>
  <si>
    <t>waist</t>
  </si>
  <si>
    <t>seat</t>
  </si>
  <si>
    <t>rise</t>
  </si>
  <si>
    <t>knee</t>
  </si>
  <si>
    <t>bottom</t>
  </si>
  <si>
    <t>length</t>
  </si>
  <si>
    <t>FORE PART</t>
  </si>
  <si>
    <t>OUTPUT</t>
  </si>
  <si>
    <t>BACK PART</t>
  </si>
  <si>
    <t>A-E</t>
  </si>
  <si>
    <t>A-B</t>
  </si>
  <si>
    <t>B-R</t>
  </si>
  <si>
    <t>B-C</t>
  </si>
  <si>
    <t>G-S</t>
  </si>
  <si>
    <t>C-E</t>
  </si>
  <si>
    <t>P-T</t>
  </si>
  <si>
    <t>B-D</t>
  </si>
  <si>
    <t>O-U</t>
  </si>
  <si>
    <t>B-F</t>
  </si>
  <si>
    <t>M-V</t>
  </si>
  <si>
    <t>F-G</t>
  </si>
  <si>
    <t>L-W</t>
  </si>
  <si>
    <t>I-H</t>
  </si>
  <si>
    <t>I-X</t>
  </si>
  <si>
    <t>G-K</t>
  </si>
  <si>
    <t>Y-Z</t>
  </si>
  <si>
    <t>N-M</t>
  </si>
  <si>
    <t>N-L</t>
  </si>
  <si>
    <t>FOR UPDATED DRAFT</t>
  </si>
  <si>
    <t>F-AA</t>
  </si>
  <si>
    <t>finished waist</t>
  </si>
  <si>
    <t>i-x for 501</t>
  </si>
  <si>
    <t>_</t>
  </si>
  <si>
    <t>WAIST</t>
  </si>
  <si>
    <t>DRAFT WAIST</t>
  </si>
  <si>
    <t>SEAT</t>
  </si>
  <si>
    <t>RISE</t>
  </si>
  <si>
    <t>BOTTOM</t>
  </si>
  <si>
    <t>INSEAM</t>
  </si>
  <si>
    <t>KNEE</t>
  </si>
  <si>
    <t>NOT</t>
  </si>
  <si>
    <t>USED</t>
  </si>
  <si>
    <t>IN DRAFT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</si>
</sst>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Font="1"/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5" fontId="1" numFmtId="0" xfId="0" applyAlignment="1" applyFill="1" applyFont="1">
      <alignment horizontal="left" readingOrder="0"/>
    </xf>
    <xf borderId="0" fillId="5" fontId="1" numFmtId="0" xfId="0" applyFont="1"/>
    <xf borderId="0" fillId="5" fontId="1" numFmtId="0" xfId="0" applyAlignment="1" applyFont="1">
      <alignment readingOrder="0"/>
    </xf>
    <xf borderId="0" fillId="2" fontId="2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6" fontId="2" numFmtId="0" xfId="0" applyAlignment="1" applyFill="1" applyFont="1">
      <alignment horizontal="center" readingOrder="0" vertical="bottom"/>
    </xf>
    <xf borderId="0" fillId="3" fontId="2" numFmtId="0" xfId="0" applyAlignment="1" applyFont="1">
      <alignment horizontal="right" vertical="bottom"/>
    </xf>
    <xf borderId="0" fillId="3" fontId="2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7" max="7" width="14.88"/>
  </cols>
  <sheetData>
    <row r="1">
      <c r="A1" s="1" t="s">
        <v>0</v>
      </c>
      <c r="B1" s="2" t="s">
        <v>1</v>
      </c>
      <c r="C1" s="3">
        <v>44198.0</v>
      </c>
      <c r="D1" s="3">
        <v>44200.0</v>
      </c>
      <c r="E1" s="3">
        <v>44204.0</v>
      </c>
      <c r="G1" s="1"/>
      <c r="H1" s="4" t="s">
        <v>2</v>
      </c>
      <c r="J1" s="2" t="s">
        <v>1</v>
      </c>
      <c r="K1" s="3">
        <v>44198.0</v>
      </c>
      <c r="L1" s="3">
        <v>44200.0</v>
      </c>
      <c r="M1" s="3">
        <v>44204.0</v>
      </c>
    </row>
    <row r="2">
      <c r="A2" s="1" t="s">
        <v>3</v>
      </c>
      <c r="B2" s="2">
        <v>34.5</v>
      </c>
      <c r="C2" s="5">
        <f t="shared" ref="C2:C7" si="1">B2/2</f>
        <v>17.25</v>
      </c>
      <c r="D2" s="5">
        <f t="shared" ref="D2:D7" si="2">B2/4</f>
        <v>8.625</v>
      </c>
      <c r="E2" s="5">
        <f t="shared" ref="E2:E7" si="3">B2/8</f>
        <v>4.3125</v>
      </c>
      <c r="H2" s="6"/>
      <c r="I2" s="1" t="s">
        <v>3</v>
      </c>
      <c r="J2" s="2">
        <v>87.63</v>
      </c>
      <c r="K2" s="5">
        <f t="shared" ref="K2:K7" si="4">J2/2</f>
        <v>43.815</v>
      </c>
      <c r="L2" s="5">
        <f t="shared" ref="L2:L7" si="5">J2/4</f>
        <v>21.9075</v>
      </c>
      <c r="M2" s="5">
        <f t="shared" ref="M2:M7" si="6">J2/8</f>
        <v>10.95375</v>
      </c>
    </row>
    <row r="3">
      <c r="A3" s="1" t="s">
        <v>4</v>
      </c>
      <c r="B3" s="2">
        <v>44.0</v>
      </c>
      <c r="C3" s="5">
        <f t="shared" si="1"/>
        <v>22</v>
      </c>
      <c r="D3" s="5">
        <f t="shared" si="2"/>
        <v>11</v>
      </c>
      <c r="E3" s="5">
        <f t="shared" si="3"/>
        <v>5.5</v>
      </c>
      <c r="H3" s="6"/>
      <c r="I3" s="1" t="s">
        <v>4</v>
      </c>
      <c r="J3" s="2">
        <v>111.76</v>
      </c>
      <c r="K3" s="5">
        <f t="shared" si="4"/>
        <v>55.88</v>
      </c>
      <c r="L3" s="5">
        <f t="shared" si="5"/>
        <v>27.94</v>
      </c>
      <c r="M3" s="5">
        <f t="shared" si="6"/>
        <v>13.97</v>
      </c>
    </row>
    <row r="4">
      <c r="A4" s="1" t="s">
        <v>5</v>
      </c>
      <c r="B4" s="2">
        <v>9.75</v>
      </c>
      <c r="C4" s="5">
        <f t="shared" si="1"/>
        <v>4.875</v>
      </c>
      <c r="D4" s="5">
        <f t="shared" si="2"/>
        <v>2.4375</v>
      </c>
      <c r="E4" s="5">
        <f t="shared" si="3"/>
        <v>1.21875</v>
      </c>
      <c r="H4" s="6"/>
      <c r="I4" s="1" t="s">
        <v>5</v>
      </c>
      <c r="J4" s="2">
        <v>24.765</v>
      </c>
      <c r="K4" s="5">
        <f t="shared" si="4"/>
        <v>12.3825</v>
      </c>
      <c r="L4" s="5">
        <f t="shared" si="5"/>
        <v>6.19125</v>
      </c>
      <c r="M4" s="5">
        <f t="shared" si="6"/>
        <v>3.095625</v>
      </c>
    </row>
    <row r="5">
      <c r="A5" s="1" t="s">
        <v>6</v>
      </c>
      <c r="B5" s="2">
        <v>10.375</v>
      </c>
      <c r="C5" s="5">
        <f t="shared" si="1"/>
        <v>5.1875</v>
      </c>
      <c r="D5" s="5">
        <f t="shared" si="2"/>
        <v>2.59375</v>
      </c>
      <c r="E5" s="5">
        <f t="shared" si="3"/>
        <v>1.296875</v>
      </c>
      <c r="H5" s="6"/>
      <c r="I5" s="1" t="s">
        <v>6</v>
      </c>
      <c r="J5" s="2">
        <v>26.35</v>
      </c>
      <c r="K5" s="5">
        <f t="shared" si="4"/>
        <v>13.175</v>
      </c>
      <c r="L5" s="5">
        <f t="shared" si="5"/>
        <v>6.5875</v>
      </c>
      <c r="M5" s="5">
        <f t="shared" si="6"/>
        <v>3.29375</v>
      </c>
    </row>
    <row r="6">
      <c r="A6" s="1" t="s">
        <v>7</v>
      </c>
      <c r="B6" s="2">
        <v>9.75</v>
      </c>
      <c r="C6" s="5">
        <f t="shared" si="1"/>
        <v>4.875</v>
      </c>
      <c r="D6" s="5">
        <f t="shared" si="2"/>
        <v>2.4375</v>
      </c>
      <c r="E6" s="5">
        <f t="shared" si="3"/>
        <v>1.21875</v>
      </c>
      <c r="H6" s="6"/>
      <c r="I6" s="1" t="s">
        <v>7</v>
      </c>
      <c r="J6" s="2">
        <v>24.765</v>
      </c>
      <c r="K6" s="5">
        <f t="shared" si="4"/>
        <v>12.3825</v>
      </c>
      <c r="L6" s="5">
        <f t="shared" si="5"/>
        <v>6.19125</v>
      </c>
      <c r="M6" s="5">
        <f t="shared" si="6"/>
        <v>3.095625</v>
      </c>
    </row>
    <row r="7">
      <c r="A7" s="1" t="s">
        <v>8</v>
      </c>
      <c r="B7" s="2">
        <v>34.0</v>
      </c>
      <c r="C7" s="5">
        <f t="shared" si="1"/>
        <v>17</v>
      </c>
      <c r="D7" s="5">
        <f t="shared" si="2"/>
        <v>8.5</v>
      </c>
      <c r="E7" s="5">
        <f t="shared" si="3"/>
        <v>4.25</v>
      </c>
      <c r="H7" s="6"/>
      <c r="I7" s="1" t="s">
        <v>8</v>
      </c>
      <c r="J7" s="2">
        <v>86.36</v>
      </c>
      <c r="K7" s="5">
        <f t="shared" si="4"/>
        <v>43.18</v>
      </c>
      <c r="L7" s="5">
        <f t="shared" si="5"/>
        <v>21.59</v>
      </c>
      <c r="M7" s="5">
        <f t="shared" si="6"/>
        <v>10.795</v>
      </c>
    </row>
    <row r="8">
      <c r="H8" s="6"/>
    </row>
    <row r="9">
      <c r="A9" s="1" t="s">
        <v>9</v>
      </c>
      <c r="B9" s="7" t="s">
        <v>10</v>
      </c>
      <c r="D9" s="1" t="s">
        <v>11</v>
      </c>
      <c r="E9" s="7" t="s">
        <v>10</v>
      </c>
      <c r="H9" s="4"/>
      <c r="I9" s="1" t="s">
        <v>9</v>
      </c>
      <c r="J9" s="7" t="s">
        <v>10</v>
      </c>
      <c r="L9" s="1" t="s">
        <v>11</v>
      </c>
      <c r="M9" s="7" t="s">
        <v>10</v>
      </c>
    </row>
    <row r="10">
      <c r="A10" s="1" t="s">
        <v>12</v>
      </c>
      <c r="B10" s="8">
        <f>B11+B12+B13</f>
        <v>45.25</v>
      </c>
      <c r="E10" s="8"/>
      <c r="H10" s="6"/>
      <c r="I10" s="1" t="s">
        <v>12</v>
      </c>
      <c r="J10" s="8">
        <f>J11+J12+J13</f>
        <v>114.935</v>
      </c>
      <c r="M10" s="8"/>
    </row>
    <row r="11">
      <c r="A11" s="1" t="s">
        <v>13</v>
      </c>
      <c r="B11" s="8">
        <f>B4</f>
        <v>9.75</v>
      </c>
      <c r="D11" s="1" t="s">
        <v>14</v>
      </c>
      <c r="E11" s="7">
        <v>1.0</v>
      </c>
      <c r="H11" s="6"/>
      <c r="I11" s="1" t="s">
        <v>13</v>
      </c>
      <c r="J11" s="8">
        <f>J4</f>
        <v>24.765</v>
      </c>
      <c r="L11" s="1" t="s">
        <v>14</v>
      </c>
      <c r="M11" s="7">
        <v>2.54</v>
      </c>
    </row>
    <row r="12">
      <c r="A12" s="1" t="s">
        <v>15</v>
      </c>
      <c r="B12" s="8">
        <f>B7+0.5</f>
        <v>34.5</v>
      </c>
      <c r="D12" s="1" t="s">
        <v>16</v>
      </c>
      <c r="E12" s="8">
        <f>B3/16</f>
        <v>2.75</v>
      </c>
      <c r="H12" s="6"/>
      <c r="I12" s="1" t="s">
        <v>15</v>
      </c>
      <c r="J12" s="8">
        <f>J7+1.27</f>
        <v>87.63</v>
      </c>
      <c r="L12" s="1" t="s">
        <v>16</v>
      </c>
      <c r="M12" s="8">
        <f>J3/16</f>
        <v>6.985</v>
      </c>
    </row>
    <row r="13">
      <c r="A13" s="1" t="s">
        <v>17</v>
      </c>
      <c r="B13" s="7">
        <v>1.0</v>
      </c>
      <c r="D13" s="1" t="s">
        <v>18</v>
      </c>
      <c r="E13" s="7">
        <v>1.0</v>
      </c>
      <c r="H13" s="6"/>
      <c r="I13" s="1" t="s">
        <v>17</v>
      </c>
      <c r="J13" s="7">
        <v>2.54</v>
      </c>
      <c r="L13" s="1" t="s">
        <v>18</v>
      </c>
      <c r="M13" s="7">
        <v>12.54</v>
      </c>
    </row>
    <row r="14">
      <c r="A14" s="1" t="s">
        <v>19</v>
      </c>
      <c r="B14" s="8">
        <f>B12/2-2</f>
        <v>15.25</v>
      </c>
      <c r="D14" s="1" t="s">
        <v>20</v>
      </c>
      <c r="E14" s="7">
        <v>1.0</v>
      </c>
      <c r="H14" s="6"/>
      <c r="I14" s="1" t="s">
        <v>19</v>
      </c>
      <c r="J14" s="8">
        <f>J12/2-5.08</f>
        <v>38.735</v>
      </c>
      <c r="L14" s="1" t="s">
        <v>20</v>
      </c>
      <c r="M14" s="7">
        <v>2.54</v>
      </c>
    </row>
    <row r="15">
      <c r="A15" s="1" t="s">
        <v>21</v>
      </c>
      <c r="B15" s="8">
        <f>D3</f>
        <v>11</v>
      </c>
      <c r="D15" s="1" t="s">
        <v>22</v>
      </c>
      <c r="E15" s="7">
        <v>1.0</v>
      </c>
      <c r="H15" s="6"/>
      <c r="I15" s="1" t="s">
        <v>21</v>
      </c>
      <c r="J15" s="8">
        <f>L3</f>
        <v>27.94</v>
      </c>
      <c r="L15" s="1" t="s">
        <v>22</v>
      </c>
      <c r="M15" s="7">
        <v>2.54</v>
      </c>
    </row>
    <row r="16">
      <c r="A16" s="1" t="s">
        <v>23</v>
      </c>
      <c r="B16" s="7">
        <v>2.0</v>
      </c>
      <c r="D16" s="1" t="s">
        <v>24</v>
      </c>
      <c r="E16" s="7">
        <v>1.0</v>
      </c>
      <c r="H16" s="6"/>
      <c r="I16" s="1" t="s">
        <v>23</v>
      </c>
      <c r="J16" s="7">
        <v>5.08</v>
      </c>
      <c r="L16" s="1" t="s">
        <v>24</v>
      </c>
      <c r="M16" s="7">
        <v>2.54</v>
      </c>
    </row>
    <row r="17">
      <c r="A17" s="1" t="s">
        <v>25</v>
      </c>
      <c r="B17" s="8">
        <f>D2+0.5</f>
        <v>9.125</v>
      </c>
      <c r="D17" s="1" t="s">
        <v>26</v>
      </c>
      <c r="E17" s="8">
        <f>B3/16</f>
        <v>2.75</v>
      </c>
      <c r="H17" s="6"/>
      <c r="I17" s="1" t="s">
        <v>25</v>
      </c>
      <c r="J17" s="8">
        <f>L2+1.27</f>
        <v>23.1775</v>
      </c>
      <c r="L17" s="1" t="s">
        <v>26</v>
      </c>
      <c r="M17" s="8">
        <f>J3/16</f>
        <v>6.985</v>
      </c>
    </row>
    <row r="18">
      <c r="A18" s="1" t="s">
        <v>27</v>
      </c>
      <c r="B18" s="7">
        <f>(B15+B16)/2</f>
        <v>6.5</v>
      </c>
      <c r="D18" s="1" t="s">
        <v>28</v>
      </c>
      <c r="E18" s="8">
        <f>D2+2</f>
        <v>10.625</v>
      </c>
      <c r="H18" s="6"/>
      <c r="I18" s="1" t="s">
        <v>27</v>
      </c>
      <c r="J18" s="7">
        <f>(J15+J16)/2</f>
        <v>16.51</v>
      </c>
      <c r="L18" s="1" t="s">
        <v>28</v>
      </c>
      <c r="M18" s="8">
        <f>L2+5.08</f>
        <v>26.9875</v>
      </c>
    </row>
    <row r="19">
      <c r="A19" s="1" t="s">
        <v>29</v>
      </c>
      <c r="B19" s="8">
        <f>C6</f>
        <v>4.875</v>
      </c>
      <c r="H19" s="6"/>
      <c r="I19" s="1" t="s">
        <v>29</v>
      </c>
      <c r="J19" s="8">
        <f>K6</f>
        <v>12.3825</v>
      </c>
    </row>
    <row r="20">
      <c r="A20" s="1" t="s">
        <v>30</v>
      </c>
      <c r="B20" s="8">
        <f>B19</f>
        <v>4.875</v>
      </c>
      <c r="D20" s="9" t="s">
        <v>31</v>
      </c>
      <c r="E20" s="10"/>
      <c r="H20" s="6"/>
      <c r="I20" s="1" t="s">
        <v>30</v>
      </c>
      <c r="J20" s="8">
        <f>J19</f>
        <v>12.3825</v>
      </c>
      <c r="L20" s="9" t="s">
        <v>31</v>
      </c>
      <c r="M20" s="10"/>
    </row>
    <row r="21">
      <c r="D21" s="11" t="s">
        <v>32</v>
      </c>
      <c r="E21" s="10">
        <f>B3/16</f>
        <v>2.75</v>
      </c>
      <c r="H21" s="6"/>
      <c r="L21" s="11" t="s">
        <v>32</v>
      </c>
      <c r="M21" s="10">
        <f>J3/16</f>
        <v>6.985</v>
      </c>
    </row>
    <row r="22">
      <c r="A22" s="1" t="s">
        <v>33</v>
      </c>
      <c r="B22" s="5">
        <f>(B17+E18)-1.75</f>
        <v>18</v>
      </c>
      <c r="D22" s="11" t="s">
        <v>34</v>
      </c>
      <c r="E22" s="10">
        <f>B3/10</f>
        <v>4.4</v>
      </c>
      <c r="H22" s="6"/>
      <c r="I22" s="1" t="s">
        <v>33</v>
      </c>
      <c r="J22" s="5">
        <f>(J17+M18)-1.75</f>
        <v>48.415</v>
      </c>
      <c r="L22" s="11" t="s">
        <v>34</v>
      </c>
      <c r="M22" s="10">
        <f>J3/10</f>
        <v>11.176</v>
      </c>
      <c r="R22" s="1" t="s">
        <v>35</v>
      </c>
    </row>
    <row r="23">
      <c r="H23" s="6"/>
    </row>
    <row r="24">
      <c r="H24" s="6"/>
    </row>
    <row r="25">
      <c r="A25" s="12" t="s">
        <v>36</v>
      </c>
      <c r="B25" s="13" t="s">
        <v>37</v>
      </c>
      <c r="C25" s="14" t="s">
        <v>38</v>
      </c>
      <c r="D25" s="14" t="s">
        <v>39</v>
      </c>
      <c r="E25" s="14" t="s">
        <v>40</v>
      </c>
      <c r="F25" s="15" t="s">
        <v>41</v>
      </c>
      <c r="G25" s="14" t="s">
        <v>42</v>
      </c>
      <c r="H25" s="6"/>
      <c r="I25" s="12" t="s">
        <v>36</v>
      </c>
      <c r="J25" s="13" t="s">
        <v>37</v>
      </c>
      <c r="K25" s="14" t="s">
        <v>38</v>
      </c>
      <c r="L25" s="14" t="s">
        <v>39</v>
      </c>
      <c r="M25" s="14" t="s">
        <v>40</v>
      </c>
      <c r="N25" s="15" t="s">
        <v>41</v>
      </c>
      <c r="O25" s="14" t="s">
        <v>42</v>
      </c>
    </row>
    <row r="26">
      <c r="A26" s="16">
        <v>25.0</v>
      </c>
      <c r="B26" s="16">
        <f t="shared" ref="B26:B33" si="8">A26-1.5</f>
        <v>23.5</v>
      </c>
      <c r="C26" s="16">
        <v>33.0</v>
      </c>
      <c r="D26" s="16">
        <f>8.5-1.5</f>
        <v>7</v>
      </c>
      <c r="E26" s="14"/>
      <c r="F26" s="14"/>
      <c r="G26" s="17" t="s">
        <v>43</v>
      </c>
      <c r="H26" s="6"/>
      <c r="I26" s="5">
        <f t="shared" ref="I26:L26" si="7">A26*2.54</f>
        <v>63.5</v>
      </c>
      <c r="J26" s="5">
        <f t="shared" si="7"/>
        <v>59.69</v>
      </c>
      <c r="K26" s="5">
        <f t="shared" si="7"/>
        <v>83.82</v>
      </c>
      <c r="L26" s="5">
        <f t="shared" si="7"/>
        <v>17.78</v>
      </c>
      <c r="O26" s="17" t="s">
        <v>43</v>
      </c>
    </row>
    <row r="27">
      <c r="A27" s="16">
        <v>26.0</v>
      </c>
      <c r="B27" s="16">
        <f t="shared" si="8"/>
        <v>24.5</v>
      </c>
      <c r="C27" s="16">
        <v>34.0</v>
      </c>
      <c r="D27" s="16">
        <f>8.75-1.5</f>
        <v>7.25</v>
      </c>
      <c r="E27" s="14"/>
      <c r="F27" s="14"/>
      <c r="G27" s="17" t="s">
        <v>44</v>
      </c>
      <c r="H27" s="6"/>
      <c r="I27" s="5">
        <f t="shared" ref="I27:L27" si="9">A27*2.54</f>
        <v>66.04</v>
      </c>
      <c r="J27" s="5">
        <f t="shared" si="9"/>
        <v>62.23</v>
      </c>
      <c r="K27" s="5">
        <f t="shared" si="9"/>
        <v>86.36</v>
      </c>
      <c r="L27" s="5">
        <f t="shared" si="9"/>
        <v>18.415</v>
      </c>
      <c r="O27" s="17" t="s">
        <v>44</v>
      </c>
    </row>
    <row r="28">
      <c r="A28" s="16">
        <v>27.0</v>
      </c>
      <c r="B28" s="16">
        <f t="shared" si="8"/>
        <v>25.5</v>
      </c>
      <c r="C28" s="16">
        <v>35.0</v>
      </c>
      <c r="D28" s="16">
        <f>9-1.5</f>
        <v>7.5</v>
      </c>
      <c r="E28" s="14"/>
      <c r="F28" s="14"/>
      <c r="G28" s="17" t="s">
        <v>45</v>
      </c>
      <c r="H28" s="6"/>
      <c r="I28" s="5">
        <f t="shared" ref="I28:L28" si="10">A28*2.54</f>
        <v>68.58</v>
      </c>
      <c r="J28" s="5">
        <f t="shared" si="10"/>
        <v>64.77</v>
      </c>
      <c r="K28" s="5">
        <f t="shared" si="10"/>
        <v>88.9</v>
      </c>
      <c r="L28" s="5">
        <f t="shared" si="10"/>
        <v>19.05</v>
      </c>
      <c r="O28" s="17" t="s">
        <v>45</v>
      </c>
    </row>
    <row r="29">
      <c r="A29" s="16">
        <v>28.0</v>
      </c>
      <c r="B29" s="16">
        <f t="shared" si="8"/>
        <v>26.5</v>
      </c>
      <c r="C29" s="16">
        <v>36.0</v>
      </c>
      <c r="D29" s="16">
        <f>9.25-1.5</f>
        <v>7.75</v>
      </c>
      <c r="E29" s="16">
        <v>8.25</v>
      </c>
      <c r="F29" s="16">
        <v>31.5</v>
      </c>
      <c r="G29" s="16">
        <f t="shared" ref="G29:G39" si="12">E29+0.625</f>
        <v>8.875</v>
      </c>
      <c r="H29" s="6"/>
      <c r="I29" s="5">
        <f t="shared" ref="I29:O29" si="11">A29*2.54</f>
        <v>71.12</v>
      </c>
      <c r="J29" s="5">
        <f t="shared" si="11"/>
        <v>67.31</v>
      </c>
      <c r="K29" s="5">
        <f t="shared" si="11"/>
        <v>91.44</v>
      </c>
      <c r="L29" s="5">
        <f t="shared" si="11"/>
        <v>19.685</v>
      </c>
      <c r="M29" s="5">
        <f t="shared" si="11"/>
        <v>20.955</v>
      </c>
      <c r="N29" s="5">
        <f t="shared" si="11"/>
        <v>80.01</v>
      </c>
      <c r="O29" s="5">
        <f t="shared" si="11"/>
        <v>22.5425</v>
      </c>
    </row>
    <row r="30">
      <c r="A30" s="16">
        <v>29.0</v>
      </c>
      <c r="B30" s="16">
        <f t="shared" si="8"/>
        <v>27.5</v>
      </c>
      <c r="C30" s="16">
        <v>37.0</v>
      </c>
      <c r="D30" s="16">
        <f>9.5-1.5</f>
        <v>8</v>
      </c>
      <c r="E30" s="16">
        <v>8.375</v>
      </c>
      <c r="F30" s="16">
        <v>31.5</v>
      </c>
      <c r="G30" s="16">
        <f t="shared" si="12"/>
        <v>9</v>
      </c>
      <c r="H30" s="6"/>
      <c r="I30" s="5">
        <f t="shared" ref="I30:O30" si="13">A30*2.54</f>
        <v>73.66</v>
      </c>
      <c r="J30" s="5">
        <f t="shared" si="13"/>
        <v>69.85</v>
      </c>
      <c r="K30" s="5">
        <f t="shared" si="13"/>
        <v>93.98</v>
      </c>
      <c r="L30" s="5">
        <f t="shared" si="13"/>
        <v>20.32</v>
      </c>
      <c r="M30" s="5">
        <f t="shared" si="13"/>
        <v>21.2725</v>
      </c>
      <c r="N30" s="5">
        <f t="shared" si="13"/>
        <v>80.01</v>
      </c>
      <c r="O30" s="5">
        <f t="shared" si="13"/>
        <v>22.86</v>
      </c>
    </row>
    <row r="31">
      <c r="A31" s="16">
        <v>30.0</v>
      </c>
      <c r="B31" s="16">
        <f t="shared" si="8"/>
        <v>28.5</v>
      </c>
      <c r="C31" s="16">
        <v>38.0</v>
      </c>
      <c r="D31" s="16">
        <f>9.75-1.5</f>
        <v>8.25</v>
      </c>
      <c r="E31" s="16">
        <v>8.5</v>
      </c>
      <c r="F31" s="16">
        <v>33.0</v>
      </c>
      <c r="G31" s="16">
        <f t="shared" si="12"/>
        <v>9.125</v>
      </c>
      <c r="H31" s="6"/>
      <c r="I31" s="5">
        <f t="shared" ref="I31:O31" si="14">A31*2.54</f>
        <v>76.2</v>
      </c>
      <c r="J31" s="5">
        <f t="shared" si="14"/>
        <v>72.39</v>
      </c>
      <c r="K31" s="5">
        <f t="shared" si="14"/>
        <v>96.52</v>
      </c>
      <c r="L31" s="5">
        <f t="shared" si="14"/>
        <v>20.955</v>
      </c>
      <c r="M31" s="5">
        <f t="shared" si="14"/>
        <v>21.59</v>
      </c>
      <c r="N31" s="5">
        <f t="shared" si="14"/>
        <v>83.82</v>
      </c>
      <c r="O31" s="5">
        <f t="shared" si="14"/>
        <v>23.1775</v>
      </c>
    </row>
    <row r="32">
      <c r="A32" s="16">
        <v>31.0</v>
      </c>
      <c r="B32" s="16">
        <f t="shared" si="8"/>
        <v>29.5</v>
      </c>
      <c r="C32" s="16">
        <v>39.0</v>
      </c>
      <c r="D32" s="16">
        <f>10-1.5</f>
        <v>8.5</v>
      </c>
      <c r="E32" s="16">
        <v>8.75</v>
      </c>
      <c r="F32" s="16">
        <v>33.5</v>
      </c>
      <c r="G32" s="16">
        <f t="shared" si="12"/>
        <v>9.375</v>
      </c>
      <c r="H32" s="6"/>
      <c r="I32" s="5">
        <f t="shared" ref="I32:O32" si="15">A32*2.54</f>
        <v>78.74</v>
      </c>
      <c r="J32" s="5">
        <f t="shared" si="15"/>
        <v>74.93</v>
      </c>
      <c r="K32" s="5">
        <f t="shared" si="15"/>
        <v>99.06</v>
      </c>
      <c r="L32" s="5">
        <f t="shared" si="15"/>
        <v>21.59</v>
      </c>
      <c r="M32" s="5">
        <f t="shared" si="15"/>
        <v>22.225</v>
      </c>
      <c r="N32" s="5">
        <f t="shared" si="15"/>
        <v>85.09</v>
      </c>
      <c r="O32" s="5">
        <f t="shared" si="15"/>
        <v>23.8125</v>
      </c>
    </row>
    <row r="33">
      <c r="A33" s="16">
        <v>32.0</v>
      </c>
      <c r="B33" s="16">
        <f t="shared" si="8"/>
        <v>30.5</v>
      </c>
      <c r="C33" s="16">
        <v>40.0</v>
      </c>
      <c r="D33" s="16">
        <f>10.25-1.5</f>
        <v>8.75</v>
      </c>
      <c r="E33" s="16">
        <v>9.0</v>
      </c>
      <c r="F33" s="16">
        <v>33.5</v>
      </c>
      <c r="G33" s="16">
        <f t="shared" si="12"/>
        <v>9.625</v>
      </c>
      <c r="H33" s="6"/>
      <c r="I33" s="5">
        <f t="shared" ref="I33:O33" si="16">A33*2.54</f>
        <v>81.28</v>
      </c>
      <c r="J33" s="5">
        <f t="shared" si="16"/>
        <v>77.47</v>
      </c>
      <c r="K33" s="5">
        <f t="shared" si="16"/>
        <v>101.6</v>
      </c>
      <c r="L33" s="5">
        <f t="shared" si="16"/>
        <v>22.225</v>
      </c>
      <c r="M33" s="5">
        <f t="shared" si="16"/>
        <v>22.86</v>
      </c>
      <c r="N33" s="5">
        <f t="shared" si="16"/>
        <v>85.09</v>
      </c>
      <c r="O33" s="5">
        <f t="shared" si="16"/>
        <v>24.4475</v>
      </c>
    </row>
    <row r="34">
      <c r="A34" s="16">
        <v>33.0</v>
      </c>
      <c r="B34" s="16">
        <v>31.5</v>
      </c>
      <c r="C34" s="16">
        <v>41.0</v>
      </c>
      <c r="D34" s="16">
        <f>10.5-1.5</f>
        <v>9</v>
      </c>
      <c r="E34" s="16">
        <v>9.125</v>
      </c>
      <c r="F34" s="16">
        <v>33.5</v>
      </c>
      <c r="G34" s="16">
        <f t="shared" si="12"/>
        <v>9.75</v>
      </c>
      <c r="H34" s="6"/>
      <c r="I34" s="5">
        <f t="shared" ref="I34:O34" si="17">A34*2.54</f>
        <v>83.82</v>
      </c>
      <c r="J34" s="5">
        <f t="shared" si="17"/>
        <v>80.01</v>
      </c>
      <c r="K34" s="5">
        <f t="shared" si="17"/>
        <v>104.14</v>
      </c>
      <c r="L34" s="5">
        <f t="shared" si="17"/>
        <v>22.86</v>
      </c>
      <c r="M34" s="5">
        <f t="shared" si="17"/>
        <v>23.1775</v>
      </c>
      <c r="N34" s="5">
        <f t="shared" si="17"/>
        <v>85.09</v>
      </c>
      <c r="O34" s="5">
        <f t="shared" si="17"/>
        <v>24.765</v>
      </c>
    </row>
    <row r="35">
      <c r="A35" s="16">
        <v>34.0</v>
      </c>
      <c r="B35" s="16">
        <v>32.5</v>
      </c>
      <c r="C35" s="16">
        <v>42.0</v>
      </c>
      <c r="D35" s="16">
        <f>10.75-1.5</f>
        <v>9.25</v>
      </c>
      <c r="E35" s="16">
        <v>9.375</v>
      </c>
      <c r="F35" s="16">
        <v>33.5</v>
      </c>
      <c r="G35" s="16">
        <f t="shared" si="12"/>
        <v>10</v>
      </c>
      <c r="H35" s="6"/>
      <c r="I35" s="5">
        <f t="shared" ref="I35:O35" si="18">A35*2.54</f>
        <v>86.36</v>
      </c>
      <c r="J35" s="5">
        <f t="shared" si="18"/>
        <v>82.55</v>
      </c>
      <c r="K35" s="5">
        <f t="shared" si="18"/>
        <v>106.68</v>
      </c>
      <c r="L35" s="5">
        <f t="shared" si="18"/>
        <v>23.495</v>
      </c>
      <c r="M35" s="5">
        <f t="shared" si="18"/>
        <v>23.8125</v>
      </c>
      <c r="N35" s="5">
        <f t="shared" si="18"/>
        <v>85.09</v>
      </c>
      <c r="O35" s="5">
        <f t="shared" si="18"/>
        <v>25.4</v>
      </c>
    </row>
    <row r="36">
      <c r="A36" s="16">
        <v>35.0</v>
      </c>
      <c r="B36" s="16">
        <v>33.5</v>
      </c>
      <c r="C36" s="16">
        <v>43.0</v>
      </c>
      <c r="D36" s="16">
        <f>11-1.5</f>
        <v>9.5</v>
      </c>
      <c r="E36" s="16">
        <v>9.5</v>
      </c>
      <c r="F36" s="15">
        <v>34.0</v>
      </c>
      <c r="G36" s="16">
        <f t="shared" si="12"/>
        <v>10.125</v>
      </c>
      <c r="H36" s="6"/>
      <c r="I36" s="5">
        <f t="shared" ref="I36:O36" si="19">A36*2.54</f>
        <v>88.9</v>
      </c>
      <c r="J36" s="5">
        <f t="shared" si="19"/>
        <v>85.09</v>
      </c>
      <c r="K36" s="5">
        <f t="shared" si="19"/>
        <v>109.22</v>
      </c>
      <c r="L36" s="5">
        <f t="shared" si="19"/>
        <v>24.13</v>
      </c>
      <c r="M36" s="5">
        <f t="shared" si="19"/>
        <v>24.13</v>
      </c>
      <c r="N36" s="5">
        <f t="shared" si="19"/>
        <v>86.36</v>
      </c>
      <c r="O36" s="5">
        <f t="shared" si="19"/>
        <v>25.7175</v>
      </c>
    </row>
    <row r="37">
      <c r="A37" s="16">
        <v>36.0</v>
      </c>
      <c r="B37" s="16">
        <v>34.5</v>
      </c>
      <c r="C37" s="16">
        <v>44.0</v>
      </c>
      <c r="D37" s="16">
        <f>11.25-1.5</f>
        <v>9.75</v>
      </c>
      <c r="E37" s="16">
        <v>9.75</v>
      </c>
      <c r="F37" s="16">
        <v>34.0</v>
      </c>
      <c r="G37" s="16">
        <f t="shared" si="12"/>
        <v>10.375</v>
      </c>
      <c r="H37" s="6"/>
      <c r="I37" s="5">
        <f t="shared" ref="I37:O37" si="20">A37*2.54</f>
        <v>91.44</v>
      </c>
      <c r="J37" s="5">
        <f t="shared" si="20"/>
        <v>87.63</v>
      </c>
      <c r="K37" s="5">
        <f t="shared" si="20"/>
        <v>111.76</v>
      </c>
      <c r="L37" s="5">
        <f t="shared" si="20"/>
        <v>24.765</v>
      </c>
      <c r="M37" s="5">
        <f t="shared" si="20"/>
        <v>24.765</v>
      </c>
      <c r="N37" s="5">
        <f t="shared" si="20"/>
        <v>86.36</v>
      </c>
      <c r="O37" s="5">
        <f t="shared" si="20"/>
        <v>26.3525</v>
      </c>
    </row>
    <row r="38">
      <c r="A38" s="16">
        <v>38.0</v>
      </c>
      <c r="B38" s="16">
        <f t="shared" ref="B38:B46" si="22">A38-1.5</f>
        <v>36.5</v>
      </c>
      <c r="C38" s="16">
        <v>45.0</v>
      </c>
      <c r="D38" s="16">
        <f>11.75-1.5</f>
        <v>10.25</v>
      </c>
      <c r="E38" s="16">
        <v>9.875</v>
      </c>
      <c r="F38" s="16">
        <v>36.0</v>
      </c>
      <c r="G38" s="16">
        <f t="shared" si="12"/>
        <v>10.5</v>
      </c>
      <c r="H38" s="6"/>
      <c r="I38" s="5">
        <f t="shared" ref="I38:O38" si="21">A38*2.54</f>
        <v>96.52</v>
      </c>
      <c r="J38" s="5">
        <f t="shared" si="21"/>
        <v>92.71</v>
      </c>
      <c r="K38" s="5">
        <f t="shared" si="21"/>
        <v>114.3</v>
      </c>
      <c r="L38" s="5">
        <f t="shared" si="21"/>
        <v>26.035</v>
      </c>
      <c r="M38" s="5">
        <f t="shared" si="21"/>
        <v>25.0825</v>
      </c>
      <c r="N38" s="5">
        <f t="shared" si="21"/>
        <v>91.44</v>
      </c>
      <c r="O38" s="5">
        <f t="shared" si="21"/>
        <v>26.67</v>
      </c>
    </row>
    <row r="39">
      <c r="A39" s="16">
        <v>40.0</v>
      </c>
      <c r="B39" s="16">
        <f t="shared" si="22"/>
        <v>38.5</v>
      </c>
      <c r="C39" s="16">
        <v>46.0</v>
      </c>
      <c r="D39" s="16">
        <f>12-1.5</f>
        <v>10.5</v>
      </c>
      <c r="E39" s="16">
        <v>10.0</v>
      </c>
      <c r="F39" s="16">
        <v>36.0</v>
      </c>
      <c r="G39" s="16">
        <f t="shared" si="12"/>
        <v>10.625</v>
      </c>
      <c r="H39" s="6"/>
      <c r="I39" s="5">
        <f t="shared" ref="I39:O39" si="23">A39*2.54</f>
        <v>101.6</v>
      </c>
      <c r="J39" s="5">
        <f t="shared" si="23"/>
        <v>97.79</v>
      </c>
      <c r="K39" s="5">
        <f t="shared" si="23"/>
        <v>116.84</v>
      </c>
      <c r="L39" s="5">
        <f t="shared" si="23"/>
        <v>26.67</v>
      </c>
      <c r="M39" s="5">
        <f t="shared" si="23"/>
        <v>25.4</v>
      </c>
      <c r="N39" s="5">
        <f t="shared" si="23"/>
        <v>91.44</v>
      </c>
      <c r="O39" s="5">
        <f t="shared" si="23"/>
        <v>26.9875</v>
      </c>
    </row>
    <row r="40">
      <c r="A40" s="16">
        <v>42.0</v>
      </c>
      <c r="B40" s="16">
        <f t="shared" si="22"/>
        <v>40.5</v>
      </c>
      <c r="C40" s="16">
        <v>47.0</v>
      </c>
      <c r="D40" s="16">
        <f>12.25-1.5</f>
        <v>10.75</v>
      </c>
      <c r="E40" s="14"/>
      <c r="F40" s="14"/>
      <c r="G40" s="14"/>
      <c r="H40" s="18"/>
      <c r="I40" s="5">
        <f t="shared" ref="I40:N40" si="24">A40*2.54</f>
        <v>106.68</v>
      </c>
      <c r="J40" s="5">
        <f t="shared" si="24"/>
        <v>102.87</v>
      </c>
      <c r="K40" s="5">
        <f t="shared" si="24"/>
        <v>119.38</v>
      </c>
      <c r="L40" s="5">
        <f t="shared" si="24"/>
        <v>27.305</v>
      </c>
      <c r="M40" s="5">
        <f t="shared" si="24"/>
        <v>0</v>
      </c>
      <c r="N40" s="5">
        <f t="shared" si="24"/>
        <v>0</v>
      </c>
    </row>
    <row r="41">
      <c r="A41" s="16">
        <v>44.0</v>
      </c>
      <c r="B41" s="16">
        <f t="shared" si="22"/>
        <v>42.5</v>
      </c>
      <c r="C41" s="16">
        <v>48.0</v>
      </c>
      <c r="D41" s="16">
        <f>12.5-1.5</f>
        <v>11</v>
      </c>
      <c r="E41" s="14"/>
      <c r="F41" s="14"/>
      <c r="G41" s="14"/>
      <c r="H41" s="19"/>
      <c r="I41" s="5">
        <f t="shared" ref="I41:N41" si="25">A41*2.54</f>
        <v>111.76</v>
      </c>
      <c r="J41" s="5">
        <f t="shared" si="25"/>
        <v>107.95</v>
      </c>
      <c r="K41" s="5">
        <f t="shared" si="25"/>
        <v>121.92</v>
      </c>
      <c r="L41" s="5">
        <f t="shared" si="25"/>
        <v>27.94</v>
      </c>
      <c r="M41" s="5">
        <f t="shared" si="25"/>
        <v>0</v>
      </c>
      <c r="N41" s="5">
        <f t="shared" si="25"/>
        <v>0</v>
      </c>
    </row>
    <row r="42">
      <c r="A42" s="16">
        <v>46.0</v>
      </c>
      <c r="B42" s="16">
        <f t="shared" si="22"/>
        <v>44.5</v>
      </c>
      <c r="C42" s="16">
        <v>49.0</v>
      </c>
      <c r="D42" s="16">
        <f>12.75-1.5</f>
        <v>11.25</v>
      </c>
      <c r="E42" s="14"/>
      <c r="F42" s="14"/>
      <c r="G42" s="14"/>
      <c r="H42" s="19"/>
      <c r="I42" s="5">
        <f t="shared" ref="I42:N42" si="26">A42*2.54</f>
        <v>116.84</v>
      </c>
      <c r="J42" s="5">
        <f t="shared" si="26"/>
        <v>113.03</v>
      </c>
      <c r="K42" s="5">
        <f t="shared" si="26"/>
        <v>124.46</v>
      </c>
      <c r="L42" s="5">
        <f t="shared" si="26"/>
        <v>28.575</v>
      </c>
      <c r="M42" s="5">
        <f t="shared" si="26"/>
        <v>0</v>
      </c>
      <c r="N42" s="5">
        <f t="shared" si="26"/>
        <v>0</v>
      </c>
    </row>
    <row r="43">
      <c r="A43" s="16">
        <v>48.0</v>
      </c>
      <c r="B43" s="16">
        <f t="shared" si="22"/>
        <v>46.5</v>
      </c>
      <c r="C43" s="16">
        <v>50.0</v>
      </c>
      <c r="D43" s="16">
        <f>13-1.5</f>
        <v>11.5</v>
      </c>
      <c r="E43" s="14"/>
      <c r="F43" s="14"/>
      <c r="G43" s="14"/>
      <c r="H43" s="19"/>
      <c r="I43" s="5">
        <f t="shared" ref="I43:N43" si="27">A43*2.54</f>
        <v>121.92</v>
      </c>
      <c r="J43" s="5">
        <f t="shared" si="27"/>
        <v>118.11</v>
      </c>
      <c r="K43" s="5">
        <f t="shared" si="27"/>
        <v>127</v>
      </c>
      <c r="L43" s="5">
        <f t="shared" si="27"/>
        <v>29.21</v>
      </c>
      <c r="M43" s="5">
        <f t="shared" si="27"/>
        <v>0</v>
      </c>
      <c r="N43" s="5">
        <f t="shared" si="27"/>
        <v>0</v>
      </c>
    </row>
    <row r="44">
      <c r="A44" s="16">
        <v>50.0</v>
      </c>
      <c r="B44" s="16">
        <f t="shared" si="22"/>
        <v>48.5</v>
      </c>
      <c r="C44" s="16">
        <v>51.0</v>
      </c>
      <c r="D44" s="16">
        <f>13.25-1.5</f>
        <v>11.75</v>
      </c>
      <c r="E44" s="14"/>
      <c r="F44" s="14"/>
      <c r="G44" s="14"/>
      <c r="H44" s="19"/>
      <c r="I44" s="5">
        <f t="shared" ref="I44:N44" si="28">A44*2.54</f>
        <v>127</v>
      </c>
      <c r="J44" s="5">
        <f t="shared" si="28"/>
        <v>123.19</v>
      </c>
      <c r="K44" s="5">
        <f t="shared" si="28"/>
        <v>129.54</v>
      </c>
      <c r="L44" s="5">
        <f t="shared" si="28"/>
        <v>29.845</v>
      </c>
      <c r="M44" s="5">
        <f t="shared" si="28"/>
        <v>0</v>
      </c>
      <c r="N44" s="5">
        <f t="shared" si="28"/>
        <v>0</v>
      </c>
    </row>
    <row r="45">
      <c r="A45" s="16">
        <v>52.0</v>
      </c>
      <c r="B45" s="16">
        <f t="shared" si="22"/>
        <v>50.5</v>
      </c>
      <c r="C45" s="16">
        <v>52.0</v>
      </c>
      <c r="D45" s="16">
        <f>13.5-1.5</f>
        <v>12</v>
      </c>
      <c r="E45" s="14"/>
      <c r="F45" s="14"/>
      <c r="G45" s="14"/>
      <c r="H45" s="19"/>
      <c r="I45" s="5">
        <f t="shared" ref="I45:N45" si="29">A45*2.54</f>
        <v>132.08</v>
      </c>
      <c r="J45" s="5">
        <f t="shared" si="29"/>
        <v>128.27</v>
      </c>
      <c r="K45" s="5">
        <f t="shared" si="29"/>
        <v>132.08</v>
      </c>
      <c r="L45" s="5">
        <f t="shared" si="29"/>
        <v>30.48</v>
      </c>
      <c r="M45" s="5">
        <f t="shared" si="29"/>
        <v>0</v>
      </c>
      <c r="N45" s="5">
        <f t="shared" si="29"/>
        <v>0</v>
      </c>
    </row>
    <row r="46">
      <c r="A46" s="16">
        <v>54.0</v>
      </c>
      <c r="B46" s="16">
        <f t="shared" si="22"/>
        <v>52.5</v>
      </c>
      <c r="C46" s="16">
        <v>53.0</v>
      </c>
      <c r="D46" s="16">
        <f>13.75-1.5</f>
        <v>12.25</v>
      </c>
      <c r="E46" s="14"/>
      <c r="F46" s="14"/>
      <c r="G46" s="14"/>
      <c r="H46" s="19"/>
      <c r="I46" s="5">
        <f t="shared" ref="I46:N46" si="30">A46*2.54</f>
        <v>137.16</v>
      </c>
      <c r="J46" s="5">
        <f t="shared" si="30"/>
        <v>133.35</v>
      </c>
      <c r="K46" s="5">
        <f t="shared" si="30"/>
        <v>134.62</v>
      </c>
      <c r="L46" s="5">
        <f t="shared" si="30"/>
        <v>31.115</v>
      </c>
      <c r="M46" s="5">
        <f t="shared" si="30"/>
        <v>0</v>
      </c>
      <c r="N46" s="5">
        <f t="shared" si="30"/>
        <v>0</v>
      </c>
    </row>
    <row r="47">
      <c r="A47" s="14"/>
      <c r="B47" s="16"/>
      <c r="C47" s="14"/>
      <c r="D47" s="16"/>
      <c r="E47" s="16"/>
      <c r="F47" s="14"/>
      <c r="G47" s="14"/>
      <c r="H47" s="14"/>
    </row>
    <row r="48">
      <c r="A48" s="14"/>
      <c r="B48" s="14"/>
      <c r="C48" s="14"/>
      <c r="D48" s="14"/>
      <c r="E48" s="20"/>
      <c r="F48" s="14"/>
      <c r="G48" s="14"/>
      <c r="H48" s="14"/>
    </row>
    <row r="49">
      <c r="A49" s="14"/>
      <c r="B49" s="14"/>
      <c r="C49" s="14"/>
      <c r="D49" s="14"/>
      <c r="E49" s="14"/>
      <c r="F49" s="14"/>
      <c r="G49" s="14"/>
      <c r="H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  <c r="I65" s="14"/>
      <c r="J65" s="14"/>
      <c r="K65" s="14"/>
    </row>
    <row r="66">
      <c r="A66" s="14"/>
      <c r="I66" s="14"/>
      <c r="J66" s="14"/>
      <c r="K66" s="14"/>
    </row>
    <row r="67">
      <c r="A67" s="14"/>
      <c r="I67" s="14"/>
      <c r="J67" s="14"/>
      <c r="K67" s="14"/>
    </row>
    <row r="68">
      <c r="A68" s="14"/>
      <c r="I68" s="14"/>
      <c r="J68" s="14"/>
      <c r="K68" s="14"/>
    </row>
    <row r="69">
      <c r="A69" s="14"/>
      <c r="I69" s="14"/>
      <c r="J69" s="14"/>
      <c r="K69" s="14"/>
    </row>
    <row r="70">
      <c r="A70" s="14"/>
      <c r="I70" s="14"/>
      <c r="J70" s="14"/>
      <c r="K70" s="14"/>
    </row>
    <row r="71">
      <c r="A71" s="14"/>
      <c r="I71" s="14"/>
      <c r="J71" s="14"/>
      <c r="K71" s="14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